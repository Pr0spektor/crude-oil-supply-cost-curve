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ostCurve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MonteCar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  <sz val="10"/>
    </font>
    <font>
      <color rgb="00777777"/>
      <sz val="8"/>
    </font>
    <font>
      <b val="1"/>
      <sz val="10"/>
    </font>
    <font>
      <b val="1"/>
      <color rgb="001F3A5F"/>
      <sz val="12"/>
    </font>
    <font>
      <i val="1"/>
      <color rgb="00888888"/>
      <sz val="8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6CC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3" borderId="1" applyAlignment="1" pivotButton="0" quotePrefix="0" xfId="0">
      <alignment horizontal="right"/>
    </xf>
    <xf numFmtId="0" fontId="2" fillId="2" borderId="0" pivotButton="0" quotePrefix="0" xfId="0"/>
    <xf numFmtId="164" fontId="5" fillId="4" borderId="0" applyAlignment="1" pivotButton="0" quotePrefix="0" xfId="0">
      <alignment horizontal="right"/>
    </xf>
    <xf numFmtId="165" fontId="5" fillId="4" borderId="0" applyAlignment="1" pivotButton="0" quotePrefix="0" xfId="0">
      <alignment horizontal="right"/>
    </xf>
    <xf numFmtId="0" fontId="6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Breakeven by node (cheapest first)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'CostCurve'!D3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'CostCurve'!$B$4:$B$26</f>
            </numRef>
          </cat>
          <val>
            <numRef>
              <f>'CostCurve'!$D$4:$D$26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$/bbl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Breakeven analysis — live (change the oil-price cell)</t>
        </is>
      </c>
    </row>
    <row r="3">
      <c r="A3" s="2" t="inlineStr">
        <is>
          <t>Oil price ($/bbl)</t>
        </is>
      </c>
      <c r="B3" s="3" t="n">
        <v>65</v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2" t="inlineStr">
        <is>
          <t>Total supply (mmb/d)</t>
        </is>
      </c>
      <c r="B6" s="5">
        <f>SUM(Data!$C$4:$C$26)</f>
        <v/>
      </c>
    </row>
    <row r="7">
      <c r="A7" s="2" t="inlineStr">
        <is>
          <t>New-investment at risk — full &gt; price (mmb/d)</t>
        </is>
      </c>
      <c r="B7" s="5">
        <f>SUMIF(Data!$D$4:$D$26,"&gt;"&amp;B3,Data!$C$4:$C$26)</f>
        <v/>
      </c>
    </row>
    <row r="8">
      <c r="A8" s="2" t="inlineStr">
        <is>
          <t>Economic — full &lt;= price (mmb/d)</t>
        </is>
      </c>
      <c r="B8" s="5">
        <f>SUMIF(Data!$D$4:$D$26,"&lt;="&amp;B3,Data!$C$4:$C$26)</f>
        <v/>
      </c>
    </row>
    <row r="9">
      <c r="A9" s="2" t="inlineStr">
        <is>
          <t>Shut-in risk — cash &gt; price (mmb/d)</t>
        </is>
      </c>
      <c r="B9" s="5">
        <f>SUMIF(Data!$E$4:$E$26,"&gt;"&amp;B3,Data!$C$4:$C$26)</f>
        <v/>
      </c>
    </row>
    <row r="10">
      <c r="A10" s="2" t="inlineStr">
        <is>
          <t>At-risk share (full-cycle)</t>
        </is>
      </c>
      <c r="B10" s="6">
        <f>SUMIF(Data!$D$4:$D$26,"&gt;"&amp;B3,Data!$C$4:$C$26)/SUM(Data!$C$4:$C$26)</f>
        <v/>
      </c>
    </row>
    <row r="12">
      <c r="A12" s="7" t="inlineStr">
        <is>
          <t>Live via SUMIF. Full-cycle = new-investment view; cash cost = shut-in view. Economic (not fiscal) breakevens — see METHODS.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6" customWidth="1" min="4" max="4"/>
    <col width="13" customWidth="1" min="5" max="5"/>
    <col width="9" customWidth="1" min="6" max="6"/>
    <col width="9" customWidth="1" min="7" max="7"/>
    <col width="16" customWidth="1" min="8" max="8"/>
  </cols>
  <sheetData>
    <row r="1">
      <c r="A1" s="1" t="inlineStr">
        <is>
          <t>Supply nodes (edit yellow cells) — crude + condensate</t>
        </is>
      </c>
    </row>
    <row r="3">
      <c r="A3" s="8" t="inlineStr">
        <is>
          <t>Node</t>
        </is>
      </c>
      <c r="B3" s="8" t="inlineStr">
        <is>
          <t>Region</t>
        </is>
      </c>
      <c r="C3" s="8" t="inlineStr">
        <is>
          <t>Production (mmb/d)</t>
        </is>
      </c>
      <c r="D3" s="8" t="inlineStr">
        <is>
          <t>Breakeven full ($/bbl)</t>
        </is>
      </c>
      <c r="E3" s="8" t="inlineStr">
        <is>
          <t>Cash cost ($/bbl)</t>
        </is>
      </c>
      <c r="F3" s="8" t="inlineStr">
        <is>
          <t>BE low</t>
        </is>
      </c>
      <c r="G3" s="8" t="inlineStr">
        <is>
          <t>BE high</t>
        </is>
      </c>
      <c r="H3" s="8" t="inlineStr">
        <is>
          <t>Source</t>
        </is>
      </c>
    </row>
    <row r="4">
      <c r="A4" t="inlineStr">
        <is>
          <t>Saudi Arabia (onshore)</t>
        </is>
      </c>
      <c r="B4" t="inlineStr">
        <is>
          <t>Middle East</t>
        </is>
      </c>
      <c r="C4" s="3" t="n">
        <v>9</v>
      </c>
      <c r="D4" s="3" t="n">
        <v>12</v>
      </c>
      <c r="E4" s="3" t="n">
        <v>6</v>
      </c>
      <c r="F4" s="9" t="n">
        <v>8</v>
      </c>
      <c r="G4" s="9" t="n">
        <v>18</v>
      </c>
      <c r="H4" s="10" t="inlineStr">
        <is>
          <t>IEA/Rystad</t>
        </is>
      </c>
    </row>
    <row r="5">
      <c r="A5" t="inlineStr">
        <is>
          <t>Iraq</t>
        </is>
      </c>
      <c r="B5" t="inlineStr">
        <is>
          <t>Middle East</t>
        </is>
      </c>
      <c r="C5" s="3" t="n">
        <v>4.3</v>
      </c>
      <c r="D5" s="3" t="n">
        <v>22</v>
      </c>
      <c r="E5" s="3" t="n">
        <v>10</v>
      </c>
      <c r="F5" s="9" t="n">
        <v>15</v>
      </c>
      <c r="G5" s="9" t="n">
        <v>30</v>
      </c>
      <c r="H5" s="10" t="inlineStr">
        <is>
          <t>IEA/Rystad</t>
        </is>
      </c>
    </row>
    <row r="6">
      <c r="A6" t="inlineStr">
        <is>
          <t>UAE</t>
        </is>
      </c>
      <c r="B6" t="inlineStr">
        <is>
          <t>Middle East</t>
        </is>
      </c>
      <c r="C6" s="3" t="n">
        <v>3.3</v>
      </c>
      <c r="D6" s="3" t="n">
        <v>22</v>
      </c>
      <c r="E6" s="3" t="n">
        <v>10</v>
      </c>
      <c r="F6" s="9" t="n">
        <v>15</v>
      </c>
      <c r="G6" s="9" t="n">
        <v>30</v>
      </c>
      <c r="H6" s="10" t="inlineStr">
        <is>
          <t>IEA/Rystad</t>
        </is>
      </c>
    </row>
    <row r="7">
      <c r="A7" t="inlineStr">
        <is>
          <t>Kuwait</t>
        </is>
      </c>
      <c r="B7" t="inlineStr">
        <is>
          <t>Middle East</t>
        </is>
      </c>
      <c r="C7" s="3" t="n">
        <v>2.5</v>
      </c>
      <c r="D7" s="3" t="n">
        <v>20</v>
      </c>
      <c r="E7" s="3" t="n">
        <v>9</v>
      </c>
      <c r="F7" s="9" t="n">
        <v>14</v>
      </c>
      <c r="G7" s="9" t="n">
        <v>28</v>
      </c>
      <c r="H7" s="10" t="inlineStr">
        <is>
          <t>IEA/Rystad</t>
        </is>
      </c>
    </row>
    <row r="8">
      <c r="A8" t="inlineStr">
        <is>
          <t>Iran</t>
        </is>
      </c>
      <c r="B8" t="inlineStr">
        <is>
          <t>Middle East</t>
        </is>
      </c>
      <c r="C8" s="3" t="n">
        <v>3.3</v>
      </c>
      <c r="D8" s="3" t="n">
        <v>25</v>
      </c>
      <c r="E8" s="3" t="n">
        <v>12</v>
      </c>
      <c r="F8" s="9" t="n">
        <v>18</v>
      </c>
      <c r="G8" s="9" t="n">
        <v>35</v>
      </c>
      <c r="H8" s="10" t="inlineStr">
        <is>
          <t>IEA/Rystad</t>
        </is>
      </c>
    </row>
    <row r="9">
      <c r="A9" t="inlineStr">
        <is>
          <t>Other Middle East</t>
        </is>
      </c>
      <c r="B9" t="inlineStr">
        <is>
          <t>Middle East</t>
        </is>
      </c>
      <c r="C9" s="3" t="n">
        <v>1.5</v>
      </c>
      <c r="D9" s="3" t="n">
        <v>28</v>
      </c>
      <c r="E9" s="3" t="n">
        <v>14</v>
      </c>
      <c r="F9" s="9" t="n">
        <v>20</v>
      </c>
      <c r="G9" s="9" t="n">
        <v>38</v>
      </c>
      <c r="H9" s="10" t="inlineStr">
        <is>
          <t>IEA</t>
        </is>
      </c>
    </row>
    <row r="10">
      <c r="A10" t="inlineStr">
        <is>
          <t>Russia (conventional onshore)</t>
        </is>
      </c>
      <c r="B10" t="inlineStr">
        <is>
          <t>CIS</t>
        </is>
      </c>
      <c r="C10" s="3" t="n">
        <v>9.6</v>
      </c>
      <c r="D10" s="3" t="n">
        <v>40</v>
      </c>
      <c r="E10" s="3" t="n">
        <v>15</v>
      </c>
      <c r="F10" s="9" t="n">
        <v>30</v>
      </c>
      <c r="G10" s="9" t="n">
        <v>50</v>
      </c>
      <c r="H10" s="10" t="inlineStr">
        <is>
          <t>IEA/EIA</t>
        </is>
      </c>
    </row>
    <row r="11">
      <c r="A11" t="inlineStr">
        <is>
          <t>Kazakhstan</t>
        </is>
      </c>
      <c r="B11" t="inlineStr">
        <is>
          <t>CIS</t>
        </is>
      </c>
      <c r="C11" s="3" t="n">
        <v>1.8</v>
      </c>
      <c r="D11" s="3" t="n">
        <v>40</v>
      </c>
      <c r="E11" s="3" t="n">
        <v>20</v>
      </c>
      <c r="F11" s="9" t="n">
        <v>30</v>
      </c>
      <c r="G11" s="9" t="n">
        <v>52</v>
      </c>
      <c r="H11" s="10" t="inlineStr">
        <is>
          <t>IEA</t>
        </is>
      </c>
    </row>
    <row r="12">
      <c r="A12" t="inlineStr">
        <is>
          <t>Other CIS</t>
        </is>
      </c>
      <c r="B12" t="inlineStr">
        <is>
          <t>CIS</t>
        </is>
      </c>
      <c r="C12" s="3" t="n">
        <v>1.2</v>
      </c>
      <c r="D12" s="3" t="n">
        <v>42</v>
      </c>
      <c r="E12" s="3" t="n">
        <v>20</v>
      </c>
      <c r="F12" s="9" t="n">
        <v>30</v>
      </c>
      <c r="G12" s="9" t="n">
        <v>55</v>
      </c>
      <c r="H12" s="10" t="inlineStr">
        <is>
          <t>IEA</t>
        </is>
      </c>
    </row>
    <row r="13">
      <c r="A13" t="inlineStr">
        <is>
          <t>US tight oil — Permian</t>
        </is>
      </c>
      <c r="B13" t="inlineStr">
        <is>
          <t>North America</t>
        </is>
      </c>
      <c r="C13" s="3" t="n">
        <v>6.2</v>
      </c>
      <c r="D13" s="3" t="n">
        <v>61</v>
      </c>
      <c r="E13" s="3" t="n">
        <v>35</v>
      </c>
      <c r="F13" s="9" t="n">
        <v>52</v>
      </c>
      <c r="G13" s="9" t="n">
        <v>72</v>
      </c>
      <c r="H13" s="10" t="inlineStr">
        <is>
          <t>Dallas Fed 2025</t>
        </is>
      </c>
    </row>
    <row r="14">
      <c r="A14" t="inlineStr">
        <is>
          <t>US tight oil — other basins</t>
        </is>
      </c>
      <c r="B14" t="inlineStr">
        <is>
          <t>North America</t>
        </is>
      </c>
      <c r="C14" s="3" t="n">
        <v>5</v>
      </c>
      <c r="D14" s="3" t="n">
        <v>63</v>
      </c>
      <c r="E14" s="3" t="n">
        <v>41</v>
      </c>
      <c r="F14" s="9" t="n">
        <v>55</v>
      </c>
      <c r="G14" s="9" t="n">
        <v>75</v>
      </c>
      <c r="H14" s="10" t="inlineStr">
        <is>
          <t>Dallas Fed 2025</t>
        </is>
      </c>
    </row>
    <row r="15">
      <c r="A15" t="inlineStr">
        <is>
          <t>US Gulf of Mexico + conventional</t>
        </is>
      </c>
      <c r="B15" t="inlineStr">
        <is>
          <t>North America</t>
        </is>
      </c>
      <c r="C15" s="3" t="n">
        <v>2.5</v>
      </c>
      <c r="D15" s="3" t="n">
        <v>45</v>
      </c>
      <c r="E15" s="3" t="n">
        <v>28</v>
      </c>
      <c r="F15" s="9" t="n">
        <v>35</v>
      </c>
      <c r="G15" s="9" t="n">
        <v>58</v>
      </c>
      <c r="H15" s="10" t="inlineStr">
        <is>
          <t>EIA/Rystad</t>
        </is>
      </c>
    </row>
    <row r="16">
      <c r="A16" t="inlineStr">
        <is>
          <t>Canada oil sands</t>
        </is>
      </c>
      <c r="B16" t="inlineStr">
        <is>
          <t>North America</t>
        </is>
      </c>
      <c r="C16" s="3" t="n">
        <v>3.3</v>
      </c>
      <c r="D16" s="3" t="n">
        <v>70</v>
      </c>
      <c r="E16" s="3" t="n">
        <v>45</v>
      </c>
      <c r="F16" s="9" t="n">
        <v>55</v>
      </c>
      <c r="G16" s="9" t="n">
        <v>85</v>
      </c>
      <c r="H16" s="10" t="inlineStr">
        <is>
          <t>Rystad/CERI</t>
        </is>
      </c>
    </row>
    <row r="17">
      <c r="A17" t="inlineStr">
        <is>
          <t>Canada conventional</t>
        </is>
      </c>
      <c r="B17" t="inlineStr">
        <is>
          <t>North America</t>
        </is>
      </c>
      <c r="C17" s="3" t="n">
        <v>1.3</v>
      </c>
      <c r="D17" s="3" t="n">
        <v>50</v>
      </c>
      <c r="E17" s="3" t="n">
        <v>33</v>
      </c>
      <c r="F17" s="9" t="n">
        <v>38</v>
      </c>
      <c r="G17" s="9" t="n">
        <v>62</v>
      </c>
      <c r="H17" s="10" t="inlineStr">
        <is>
          <t>Rystad</t>
        </is>
      </c>
    </row>
    <row r="18">
      <c r="A18" t="inlineStr">
        <is>
          <t>Brazil pre-salt (deepwater)</t>
        </is>
      </c>
      <c r="B18" t="inlineStr">
        <is>
          <t>Latin America</t>
        </is>
      </c>
      <c r="C18" s="3" t="n">
        <v>3.5</v>
      </c>
      <c r="D18" s="3" t="n">
        <v>35</v>
      </c>
      <c r="E18" s="3" t="n">
        <v>22</v>
      </c>
      <c r="F18" s="9" t="n">
        <v>28</v>
      </c>
      <c r="G18" s="9" t="n">
        <v>45</v>
      </c>
      <c r="H18" s="10" t="inlineStr">
        <is>
          <t>IEA/Rystad</t>
        </is>
      </c>
    </row>
    <row r="19">
      <c r="A19" t="inlineStr">
        <is>
          <t>Other Latin America</t>
        </is>
      </c>
      <c r="B19" t="inlineStr">
        <is>
          <t>Latin America</t>
        </is>
      </c>
      <c r="C19" s="3" t="n">
        <v>2</v>
      </c>
      <c r="D19" s="3" t="n">
        <v>50</v>
      </c>
      <c r="E19" s="3" t="n">
        <v>32</v>
      </c>
      <c r="F19" s="9" t="n">
        <v>38</v>
      </c>
      <c r="G19" s="9" t="n">
        <v>62</v>
      </c>
      <c r="H19" s="10" t="inlineStr">
        <is>
          <t>Rystad</t>
        </is>
      </c>
    </row>
    <row r="20">
      <c r="A20" t="inlineStr">
        <is>
          <t>Venezuela extra-heavy</t>
        </is>
      </c>
      <c r="B20" t="inlineStr">
        <is>
          <t>Latin America</t>
        </is>
      </c>
      <c r="C20" s="3" t="n">
        <v>0.8</v>
      </c>
      <c r="D20" s="3" t="n">
        <v>55</v>
      </c>
      <c r="E20" s="3" t="n">
        <v>35</v>
      </c>
      <c r="F20" s="9" t="n">
        <v>40</v>
      </c>
      <c r="G20" s="9" t="n">
        <v>75</v>
      </c>
      <c r="H20" s="10" t="inlineStr">
        <is>
          <t>Rystad</t>
        </is>
      </c>
    </row>
    <row r="21">
      <c r="A21" t="inlineStr">
        <is>
          <t>West Africa offshore</t>
        </is>
      </c>
      <c r="B21" t="inlineStr">
        <is>
          <t>Africa</t>
        </is>
      </c>
      <c r="C21" s="3" t="n">
        <v>3</v>
      </c>
      <c r="D21" s="3" t="n">
        <v>48</v>
      </c>
      <c r="E21" s="3" t="n">
        <v>30</v>
      </c>
      <c r="F21" s="9" t="n">
        <v>38</v>
      </c>
      <c r="G21" s="9" t="n">
        <v>60</v>
      </c>
      <c r="H21" s="10" t="inlineStr">
        <is>
          <t>Rystad</t>
        </is>
      </c>
    </row>
    <row r="22">
      <c r="A22" t="inlineStr">
        <is>
          <t>Other Africa onshore</t>
        </is>
      </c>
      <c r="B22" t="inlineStr">
        <is>
          <t>Africa</t>
        </is>
      </c>
      <c r="C22" s="3" t="n">
        <v>2.5</v>
      </c>
      <c r="D22" s="3" t="n">
        <v>45</v>
      </c>
      <c r="E22" s="3" t="n">
        <v>25</v>
      </c>
      <c r="F22" s="9" t="n">
        <v>34</v>
      </c>
      <c r="G22" s="9" t="n">
        <v>58</v>
      </c>
      <c r="H22" s="10" t="inlineStr">
        <is>
          <t>IEA</t>
        </is>
      </c>
    </row>
    <row r="23">
      <c r="A23" t="inlineStr">
        <is>
          <t>North Sea (mature offshore)</t>
        </is>
      </c>
      <c r="B23" t="inlineStr">
        <is>
          <t>Europe</t>
        </is>
      </c>
      <c r="C23" s="3" t="n">
        <v>3.2</v>
      </c>
      <c r="D23" s="3" t="n">
        <v>50</v>
      </c>
      <c r="E23" s="3" t="n">
        <v>35</v>
      </c>
      <c r="F23" s="9" t="n">
        <v>40</v>
      </c>
      <c r="G23" s="9" t="n">
        <v>65</v>
      </c>
      <c r="H23" s="10" t="inlineStr">
        <is>
          <t>Rystad/OGA</t>
        </is>
      </c>
    </row>
    <row r="24">
      <c r="A24" t="inlineStr">
        <is>
          <t>Asia-Pacific</t>
        </is>
      </c>
      <c r="B24" t="inlineStr">
        <is>
          <t>Asia-Pacific</t>
        </is>
      </c>
      <c r="C24" s="3" t="n">
        <v>4.5</v>
      </c>
      <c r="D24" s="3" t="n">
        <v>48</v>
      </c>
      <c r="E24" s="3" t="n">
        <v>30</v>
      </c>
      <c r="F24" s="9" t="n">
        <v>38</v>
      </c>
      <c r="G24" s="9" t="n">
        <v>60</v>
      </c>
      <c r="H24" s="10" t="inlineStr">
        <is>
          <t>IEA/Rystad</t>
        </is>
      </c>
    </row>
    <row r="25">
      <c r="A25" t="inlineStr">
        <is>
          <t>Arctic / frontier</t>
        </is>
      </c>
      <c r="B25" t="inlineStr">
        <is>
          <t>Global</t>
        </is>
      </c>
      <c r="C25" s="3" t="n">
        <v>0.8</v>
      </c>
      <c r="D25" s="3" t="n">
        <v>78</v>
      </c>
      <c r="E25" s="3" t="n">
        <v>52</v>
      </c>
      <c r="F25" s="9" t="n">
        <v>65</v>
      </c>
      <c r="G25" s="9" t="n">
        <v>95</v>
      </c>
      <c r="H25" s="10" t="inlineStr">
        <is>
          <t>Rystad</t>
        </is>
      </c>
    </row>
    <row r="26">
      <c r="A26" t="inlineStr">
        <is>
          <t>Other conventional (RoW)</t>
        </is>
      </c>
      <c r="B26" t="inlineStr">
        <is>
          <t>Global</t>
        </is>
      </c>
      <c r="C26" s="3" t="n">
        <v>7</v>
      </c>
      <c r="D26" s="3" t="n">
        <v>38</v>
      </c>
      <c r="E26" s="3" t="n">
        <v>20</v>
      </c>
      <c r="F26" s="9" t="n">
        <v>28</v>
      </c>
      <c r="G26" s="9" t="n">
        <v>48</v>
      </c>
      <c r="H26" s="10" t="inlineStr">
        <is>
          <t>IEA</t>
        </is>
      </c>
    </row>
    <row r="28">
      <c r="A28" s="2" t="inlineStr">
        <is>
          <t>TOTAL</t>
        </is>
      </c>
      <c r="C28" s="11">
        <f>SUM(C4:C26)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6" customWidth="1" min="4" max="4"/>
    <col width="14" customWidth="1" min="5" max="5"/>
  </cols>
  <sheetData>
    <row r="1">
      <c r="A1" s="1" t="inlineStr">
        <is>
          <t>Supply cost curve (sorted, full-cycle)</t>
        </is>
      </c>
    </row>
    <row r="3">
      <c r="A3" s="4" t="inlineStr">
        <is>
          <t>Rank</t>
        </is>
      </c>
      <c r="B3" s="4" t="inlineStr">
        <is>
          <t>Node</t>
        </is>
      </c>
      <c r="C3" s="4" t="inlineStr">
        <is>
          <t>Production</t>
        </is>
      </c>
      <c r="D3" s="4" t="inlineStr">
        <is>
          <t>Breakeven ($/bbl)</t>
        </is>
      </c>
      <c r="E3" s="4" t="inlineStr">
        <is>
          <t>Cum. end (mmb/d)</t>
        </is>
      </c>
    </row>
    <row r="4">
      <c r="A4" t="n">
        <v>1</v>
      </c>
      <c r="B4" t="inlineStr">
        <is>
          <t>Saudi Arabia (onshore)</t>
        </is>
      </c>
      <c r="C4" s="9" t="n">
        <v>9</v>
      </c>
      <c r="D4" s="9" t="n">
        <v>12</v>
      </c>
      <c r="E4" s="9" t="n">
        <v>9</v>
      </c>
    </row>
    <row r="5">
      <c r="A5" t="n">
        <v>2</v>
      </c>
      <c r="B5" t="inlineStr">
        <is>
          <t>Kuwait</t>
        </is>
      </c>
      <c r="C5" s="9" t="n">
        <v>2.5</v>
      </c>
      <c r="D5" s="9" t="n">
        <v>20</v>
      </c>
      <c r="E5" s="9" t="n">
        <v>11.5</v>
      </c>
    </row>
    <row r="6">
      <c r="A6" t="n">
        <v>3</v>
      </c>
      <c r="B6" t="inlineStr">
        <is>
          <t>Iraq</t>
        </is>
      </c>
      <c r="C6" s="9" t="n">
        <v>4.3</v>
      </c>
      <c r="D6" s="9" t="n">
        <v>22</v>
      </c>
      <c r="E6" s="9" t="n">
        <v>15.8</v>
      </c>
    </row>
    <row r="7">
      <c r="A7" t="n">
        <v>4</v>
      </c>
      <c r="B7" t="inlineStr">
        <is>
          <t>UAE</t>
        </is>
      </c>
      <c r="C7" s="9" t="n">
        <v>3.3</v>
      </c>
      <c r="D7" s="9" t="n">
        <v>22</v>
      </c>
      <c r="E7" s="9" t="n">
        <v>19.1</v>
      </c>
    </row>
    <row r="8">
      <c r="A8" t="n">
        <v>5</v>
      </c>
      <c r="B8" t="inlineStr">
        <is>
          <t>Iran</t>
        </is>
      </c>
      <c r="C8" s="9" t="n">
        <v>3.3</v>
      </c>
      <c r="D8" s="9" t="n">
        <v>25</v>
      </c>
      <c r="E8" s="9" t="n">
        <v>22.4</v>
      </c>
    </row>
    <row r="9">
      <c r="A9" t="n">
        <v>6</v>
      </c>
      <c r="B9" t="inlineStr">
        <is>
          <t>Other Middle East</t>
        </is>
      </c>
      <c r="C9" s="9" t="n">
        <v>1.5</v>
      </c>
      <c r="D9" s="9" t="n">
        <v>28</v>
      </c>
      <c r="E9" s="9" t="n">
        <v>23.9</v>
      </c>
    </row>
    <row r="10">
      <c r="A10" t="n">
        <v>7</v>
      </c>
      <c r="B10" t="inlineStr">
        <is>
          <t>Brazil pre-salt (deepwater)</t>
        </is>
      </c>
      <c r="C10" s="9" t="n">
        <v>3.5</v>
      </c>
      <c r="D10" s="9" t="n">
        <v>35</v>
      </c>
      <c r="E10" s="9" t="n">
        <v>27.4</v>
      </c>
    </row>
    <row r="11">
      <c r="A11" t="n">
        <v>8</v>
      </c>
      <c r="B11" t="inlineStr">
        <is>
          <t>Other conventional (RoW)</t>
        </is>
      </c>
      <c r="C11" s="9" t="n">
        <v>7</v>
      </c>
      <c r="D11" s="9" t="n">
        <v>38</v>
      </c>
      <c r="E11" s="9" t="n">
        <v>34.4</v>
      </c>
    </row>
    <row r="12">
      <c r="A12" t="n">
        <v>9</v>
      </c>
      <c r="B12" t="inlineStr">
        <is>
          <t>Russia (conventional onshore)</t>
        </is>
      </c>
      <c r="C12" s="9" t="n">
        <v>9.6</v>
      </c>
      <c r="D12" s="9" t="n">
        <v>40</v>
      </c>
      <c r="E12" s="9" t="n">
        <v>44</v>
      </c>
    </row>
    <row r="13">
      <c r="A13" t="n">
        <v>10</v>
      </c>
      <c r="B13" t="inlineStr">
        <is>
          <t>Kazakhstan</t>
        </is>
      </c>
      <c r="C13" s="9" t="n">
        <v>1.8</v>
      </c>
      <c r="D13" s="9" t="n">
        <v>40</v>
      </c>
      <c r="E13" s="9" t="n">
        <v>45.8</v>
      </c>
    </row>
    <row r="14">
      <c r="A14" t="n">
        <v>11</v>
      </c>
      <c r="B14" t="inlineStr">
        <is>
          <t>Other CIS</t>
        </is>
      </c>
      <c r="C14" s="9" t="n">
        <v>1.2</v>
      </c>
      <c r="D14" s="9" t="n">
        <v>42</v>
      </c>
      <c r="E14" s="9" t="n">
        <v>47</v>
      </c>
    </row>
    <row r="15">
      <c r="A15" t="n">
        <v>12</v>
      </c>
      <c r="B15" t="inlineStr">
        <is>
          <t>US Gulf of Mexico + conventional</t>
        </is>
      </c>
      <c r="C15" s="9" t="n">
        <v>2.5</v>
      </c>
      <c r="D15" s="9" t="n">
        <v>45</v>
      </c>
      <c r="E15" s="9" t="n">
        <v>49.5</v>
      </c>
    </row>
    <row r="16">
      <c r="A16" t="n">
        <v>13</v>
      </c>
      <c r="B16" t="inlineStr">
        <is>
          <t>Other Africa onshore</t>
        </is>
      </c>
      <c r="C16" s="9" t="n">
        <v>2.5</v>
      </c>
      <c r="D16" s="9" t="n">
        <v>45</v>
      </c>
      <c r="E16" s="9" t="n">
        <v>52</v>
      </c>
    </row>
    <row r="17">
      <c r="A17" t="n">
        <v>14</v>
      </c>
      <c r="B17" t="inlineStr">
        <is>
          <t>West Africa offshore</t>
        </is>
      </c>
      <c r="C17" s="9" t="n">
        <v>3</v>
      </c>
      <c r="D17" s="9" t="n">
        <v>48</v>
      </c>
      <c r="E17" s="9" t="n">
        <v>55</v>
      </c>
    </row>
    <row r="18">
      <c r="A18" t="n">
        <v>15</v>
      </c>
      <c r="B18" t="inlineStr">
        <is>
          <t>Asia-Pacific</t>
        </is>
      </c>
      <c r="C18" s="9" t="n">
        <v>4.5</v>
      </c>
      <c r="D18" s="9" t="n">
        <v>48</v>
      </c>
      <c r="E18" s="9" t="n">
        <v>59.5</v>
      </c>
    </row>
    <row r="19">
      <c r="A19" t="n">
        <v>16</v>
      </c>
      <c r="B19" t="inlineStr">
        <is>
          <t>Canada conventional</t>
        </is>
      </c>
      <c r="C19" s="9" t="n">
        <v>1.3</v>
      </c>
      <c r="D19" s="9" t="n">
        <v>50</v>
      </c>
      <c r="E19" s="9" t="n">
        <v>60.8</v>
      </c>
    </row>
    <row r="20">
      <c r="A20" t="n">
        <v>17</v>
      </c>
      <c r="B20" t="inlineStr">
        <is>
          <t>Other Latin America</t>
        </is>
      </c>
      <c r="C20" s="9" t="n">
        <v>2</v>
      </c>
      <c r="D20" s="9" t="n">
        <v>50</v>
      </c>
      <c r="E20" s="9" t="n">
        <v>62.8</v>
      </c>
    </row>
    <row r="21">
      <c r="A21" t="n">
        <v>18</v>
      </c>
      <c r="B21" t="inlineStr">
        <is>
          <t>North Sea (mature offshore)</t>
        </is>
      </c>
      <c r="C21" s="9" t="n">
        <v>3.2</v>
      </c>
      <c r="D21" s="9" t="n">
        <v>50</v>
      </c>
      <c r="E21" s="9" t="n">
        <v>66</v>
      </c>
    </row>
    <row r="22">
      <c r="A22" t="n">
        <v>19</v>
      </c>
      <c r="B22" t="inlineStr">
        <is>
          <t>Venezuela extra-heavy</t>
        </is>
      </c>
      <c r="C22" s="9" t="n">
        <v>0.8</v>
      </c>
      <c r="D22" s="9" t="n">
        <v>55</v>
      </c>
      <c r="E22" s="9" t="n">
        <v>66.8</v>
      </c>
    </row>
    <row r="23">
      <c r="A23" t="n">
        <v>20</v>
      </c>
      <c r="B23" t="inlineStr">
        <is>
          <t>US tight oil — Permian</t>
        </is>
      </c>
      <c r="C23" s="9" t="n">
        <v>6.2</v>
      </c>
      <c r="D23" s="9" t="n">
        <v>61</v>
      </c>
      <c r="E23" s="9" t="n">
        <v>73</v>
      </c>
    </row>
    <row r="24">
      <c r="A24" t="n">
        <v>21</v>
      </c>
      <c r="B24" t="inlineStr">
        <is>
          <t>US tight oil — other basins</t>
        </is>
      </c>
      <c r="C24" s="9" t="n">
        <v>5</v>
      </c>
      <c r="D24" s="9" t="n">
        <v>63</v>
      </c>
      <c r="E24" s="9" t="n">
        <v>78</v>
      </c>
    </row>
    <row r="25">
      <c r="A25" t="n">
        <v>22</v>
      </c>
      <c r="B25" t="inlineStr">
        <is>
          <t>Canada oil sands</t>
        </is>
      </c>
      <c r="C25" s="9" t="n">
        <v>3.3</v>
      </c>
      <c r="D25" s="9" t="n">
        <v>70</v>
      </c>
      <c r="E25" s="9" t="n">
        <v>81.3</v>
      </c>
    </row>
    <row r="26">
      <c r="A26" t="n">
        <v>23</v>
      </c>
      <c r="B26" t="inlineStr">
        <is>
          <t>Arctic / frontier</t>
        </is>
      </c>
      <c r="C26" s="9" t="n">
        <v>0.8</v>
      </c>
      <c r="D26" s="9" t="n">
        <v>78</v>
      </c>
      <c r="E26" s="9" t="n">
        <v>82.09999999999999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Scenario grid — at-risk volume (mmb/d, full-cycle)</t>
        </is>
      </c>
    </row>
    <row r="3">
      <c r="A3" s="4" t="inlineStr">
        <is>
          <t>Cost inflation \ Oil price</t>
        </is>
      </c>
      <c r="B3" s="12" t="inlineStr">
        <is>
          <t>$40</t>
        </is>
      </c>
      <c r="C3" s="12" t="inlineStr">
        <is>
          <t>$65</t>
        </is>
      </c>
      <c r="D3" s="12" t="inlineStr">
        <is>
          <t>$85</t>
        </is>
      </c>
    </row>
    <row r="4">
      <c r="A4" s="2" t="inlineStr">
        <is>
          <t>base</t>
        </is>
      </c>
      <c r="B4" s="9" t="n">
        <v>36.3</v>
      </c>
      <c r="C4" s="9" t="n">
        <v>4.1</v>
      </c>
      <c r="D4" s="9" t="n">
        <v>0</v>
      </c>
    </row>
    <row r="5">
      <c r="A5" s="2" t="inlineStr">
        <is>
          <t>supply_chain_+15%</t>
        </is>
      </c>
      <c r="B5" s="9" t="n">
        <v>58.2</v>
      </c>
      <c r="C5" s="9" t="n">
        <v>15.3</v>
      </c>
      <c r="D5" s="9" t="n">
        <v>0.8</v>
      </c>
    </row>
    <row r="6">
      <c r="A6" s="2" t="inlineStr">
        <is>
          <t>deflation_-10%</t>
        </is>
      </c>
      <c r="B6" s="9" t="n">
        <v>35.1</v>
      </c>
      <c r="C6" s="9" t="n">
        <v>0.8</v>
      </c>
      <c r="D6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Monte-Carlo — at-risk volume distribution (10k draws, seeded)</t>
        </is>
      </c>
    </row>
    <row r="3">
      <c r="A3" s="8" t="inlineStr">
        <is>
          <t>Oil price ($/bbl)</t>
        </is>
      </c>
      <c r="B3" s="8" t="inlineStr">
        <is>
          <t>Point estimate</t>
        </is>
      </c>
      <c r="C3" s="8" t="inlineStr">
        <is>
          <t>Mean</t>
        </is>
      </c>
      <c r="D3" s="8" t="inlineStr">
        <is>
          <t>P10</t>
        </is>
      </c>
      <c r="E3" s="8" t="inlineStr">
        <is>
          <t>P50</t>
        </is>
      </c>
      <c r="F3" s="8" t="inlineStr">
        <is>
          <t>P90</t>
        </is>
      </c>
    </row>
    <row r="4">
      <c r="A4" s="9" t="n">
        <v>40</v>
      </c>
      <c r="B4" s="9" t="n">
        <v>36.3</v>
      </c>
      <c r="C4" s="9" t="n">
        <v>43.8</v>
      </c>
      <c r="D4" s="9" t="n">
        <v>35.6</v>
      </c>
      <c r="E4" s="9" t="n">
        <v>44.7</v>
      </c>
      <c r="F4" s="9" t="n">
        <v>52.9</v>
      </c>
    </row>
    <row r="5">
      <c r="A5" s="9" t="n">
        <v>50</v>
      </c>
      <c r="B5" s="9" t="n">
        <v>16.1</v>
      </c>
      <c r="C5" s="9" t="n">
        <v>23.5</v>
      </c>
      <c r="D5" s="9" t="n">
        <v>19</v>
      </c>
      <c r="E5" s="9" t="n">
        <v>23.5</v>
      </c>
      <c r="F5" s="9" t="n">
        <v>28.3</v>
      </c>
    </row>
    <row r="6">
      <c r="A6" s="9" t="n">
        <v>55</v>
      </c>
      <c r="B6" s="9" t="n">
        <v>15.3</v>
      </c>
      <c r="C6" s="9" t="n">
        <v>17.7</v>
      </c>
      <c r="D6" s="9" t="n">
        <v>15.3</v>
      </c>
      <c r="E6" s="9" t="n">
        <v>17.4</v>
      </c>
      <c r="F6" s="9" t="n">
        <v>21.1</v>
      </c>
    </row>
    <row r="7">
      <c r="A7" s="9" t="n">
        <v>60</v>
      </c>
      <c r="B7" s="9" t="n">
        <v>15.3</v>
      </c>
      <c r="C7" s="9" t="n">
        <v>12.7</v>
      </c>
      <c r="D7" s="9" t="n">
        <v>9.1</v>
      </c>
      <c r="E7" s="9" t="n">
        <v>15.3</v>
      </c>
      <c r="F7" s="9" t="n">
        <v>16.1</v>
      </c>
    </row>
    <row r="8">
      <c r="A8" s="9" t="n">
        <v>65</v>
      </c>
      <c r="B8" s="9" t="n">
        <v>4.1</v>
      </c>
      <c r="C8" s="9" t="n">
        <v>7</v>
      </c>
      <c r="D8" s="9" t="n">
        <v>4.1</v>
      </c>
      <c r="E8" s="9" t="n">
        <v>5.8</v>
      </c>
      <c r="F8" s="9" t="n">
        <v>11.1</v>
      </c>
    </row>
    <row r="9">
      <c r="A9" s="9" t="n">
        <v>70</v>
      </c>
      <c r="B9" s="9" t="n">
        <v>0.8</v>
      </c>
      <c r="C9" s="9" t="n">
        <v>3.1</v>
      </c>
      <c r="D9" s="9" t="n">
        <v>0.8</v>
      </c>
      <c r="E9" s="9" t="n">
        <v>4.1</v>
      </c>
      <c r="F9" s="9" t="n">
        <v>5.8</v>
      </c>
    </row>
    <row r="10">
      <c r="A10" s="9" t="n">
        <v>80</v>
      </c>
      <c r="B10" s="9" t="n">
        <v>0</v>
      </c>
      <c r="C10" s="9" t="n">
        <v>0.5</v>
      </c>
      <c r="D10" s="9" t="n">
        <v>0</v>
      </c>
      <c r="E10" s="9" t="n">
        <v>0</v>
      </c>
      <c r="F10" s="9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Pr0spektor</dc:creator>
  <dcterms:created xmlns:dcterms="http://purl.org/dc/terms/" xmlns:xsi="http://www.w3.org/2001/XMLSchema-instance" xsi:type="dcterms:W3CDTF">2026-07-18T18:32:28Z</dcterms:created>
  <dcterms:modified xmlns:dcterms="http://purl.org/dc/terms/" xmlns:xsi="http://www.w3.org/2001/XMLSchema-instance" xsi:type="dcterms:W3CDTF">2026-07-18T18:32:29Z</dcterms:modified>
  <cp:lastModifiedBy>Pr0spektor</cp:lastModifiedBy>
</cp:coreProperties>
</file>